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ual Studio Projects\Financial Statement Data Retriever\PVI Insurance\final_statements_standardized\"/>
    </mc:Choice>
  </mc:AlternateContent>
  <xr:revisionPtr revIDLastSave="0" documentId="13_ncr:1_{1C6ACC96-6662-4509-84D9-018D819812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F35" i="1"/>
  <c r="G35" i="1"/>
  <c r="H35" i="1"/>
  <c r="D35" i="1"/>
  <c r="G25" i="1"/>
  <c r="D25" i="1"/>
  <c r="E16" i="1"/>
  <c r="F16" i="1"/>
  <c r="G16" i="1"/>
  <c r="H16" i="1"/>
  <c r="D16" i="1"/>
  <c r="E25" i="1"/>
  <c r="F25" i="1"/>
  <c r="H25" i="1"/>
</calcChain>
</file>

<file path=xl/sharedStrings.xml><?xml version="1.0" encoding="utf-8"?>
<sst xmlns="http://schemas.openxmlformats.org/spreadsheetml/2006/main" count="35" uniqueCount="34">
  <si>
    <t>2020</t>
  </si>
  <si>
    <t>2023</t>
  </si>
  <si>
    <t>2024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</si>
  <si>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</si>
  <si>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</si>
  <si>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</si>
  <si>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</si>
  <si>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Đầu Tư Góp Vốn Vào Đơn Vị Khác</t>
  </si>
  <si>
    <t>6. Tiền Thu Hồi Vốn Đầu Tư Vào Đơn Vị Khác</t>
  </si>
  <si>
    <t>7. Tiền Thu Từ Lãi Tiền Gửi, Tiền Vay, Cổ Tức, Lợi Nhuận Được Chia</t>
  </si>
  <si>
    <t>CASH FLOW STATEMENT</t>
  </si>
  <si>
    <t>Lưu Chuyển Tiền Thuần Từ Hoạt Động Kinh Doanh</t>
  </si>
  <si>
    <t>Lưu Chuyển Tiền Thuần Từ Hoạt Động Đầu Tư</t>
  </si>
  <si>
    <t>1. Tiền Thu Từ Phí Bảo Hiểm Và Hoa Hồng</t>
  </si>
  <si>
    <t>2. Tiền Thu Từ Các Khoản Thu Được Giảm Chi</t>
  </si>
  <si>
    <t>3. Tiền Thu Từ Các Hoạt Động Kinh Doanh Khác</t>
  </si>
  <si>
    <t>4. Trả Tiền Bồi Thường Bảo Hiểm</t>
  </si>
  <si>
    <t>5. Trả Tiền Hoa Hồng Và Các Khoản Nợ Khác Của Kinh Doanh Bảo Hiểm</t>
  </si>
  <si>
    <t>6. Trả Tiền Cho Người Bán, Người Cung Cấp Dịch Vụ</t>
  </si>
  <si>
    <t>7. Trả Tiền Cho Cán Bộ Công Nhân Viên</t>
  </si>
  <si>
    <t>8. Trả Tiền Lãi Vay</t>
  </si>
  <si>
    <t>9. Trả Tiền Nộp Thuế Và Các Khoản Nợ Nhà Nước</t>
  </si>
  <si>
    <t>10. Trả Tiền Cho Các Khoản Nợ Khác</t>
  </si>
  <si>
    <t>11. Tiền Tạm Ứng Cho Cán Bộ Công Nhân Viên Và Ứng Trước Cho Người Bán</t>
  </si>
  <si>
    <t>Tiền Thu Từ Phát Hành Cổ Phiếu, Trái Phiếu, Nhận Vốn Góp Của Chủ Sở Hữu</t>
  </si>
  <si>
    <t>1. Tiền Thu Từ Đi Vay</t>
  </si>
  <si>
    <t>2. Tiền Đã Trả Nợ Vay</t>
  </si>
  <si>
    <t>3. Tiền Lãi Đã Trả Cho Các Nhà Đầu Tư Vào Doanh Nghiệp</t>
  </si>
  <si>
    <t>Lợi Nhuận Đã Trả Cho Chủ Sở Hữu</t>
  </si>
  <si>
    <t>Lưu Chuyển Tiền Thuần Từ Hoạt Động Tài Chính</t>
  </si>
  <si>
    <t>Lưu Chuyển Tiền Thuần Trong Năm</t>
  </si>
  <si>
    <t>Ảnh Hưởng Của Thay Đổi Tỷ Giá Hối Đoái Quy Đổi Ngoại Tệ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</si>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</sst>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3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43" fontId="2" fillId="0" borderId="0" xfId="1" applyFont="1" applyAlignment="1">
      <alignment vertical="top"/>
    </xf>
    <xf numFmtId="43" fontId="1" fillId="0" borderId="0" xfId="1" applyFont="1" applyAlignment="1">
      <alignment vertical="top"/>
    </xf>
    <xf numFmtId="0" fontId="4" fillId="2" borderId="0" xfId="0" applyFont="1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indent="2"/>
    </xf>
    <xf numFmtId="43" fontId="2" fillId="0" borderId="0" xfId="1" applyFont="1" applyBorder="1" applyAlignment="1">
      <alignment vertical="top"/>
    </xf>
    <xf numFmtId="0" fontId="1" fillId="0" borderId="0" xfId="0" applyFont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indent="2"/>
    </xf>
    <xf numFmtId="43" fontId="0" fillId="0" borderId="0" xfId="1" applyFont="1"/>
    <xf numFmtId="43" fontId="1" fillId="0" borderId="0" xfId="1" applyFont="1"/>
  </cellXfs>
  <cellStyles count="2">
    <cellStyle name="Comma" xfId="1" builtinId="3"/>
    <cellStyle name="Normal" xfId="0" builtinId="0"/>
  </cellStyles>
  <dxfs count="12"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2"/>
  <sheetViews>
    <sheetView tabSelected="1" zoomScale="85" zoomScaleNormal="85" workbookViewId="0">
      <pane xSplit="2" ySplit="1" topLeftCell="E23" activePane="bottomRight" state="frozen"/>
      <selection pane="topRight" activeCell="C1" sqref="C1"/>
      <selection pane="bottomLeft" activeCell="A2" sqref="A2"/>
      <selection pane="bottomRight" activeCell="H35" sqref="H35"/>
    </sheetView>
  </sheetViews>
  <sheetFormatPr defaultRowHeight="14.5" x14ac:dyDescent="0.35"/>
  <cols>
    <col min="1" max="1" width="21.453125" customWidth="1"/>
    <col min="2" max="2" width="67.81640625" bestFit="1" customWidth="1"/>
    <col min="3" max="3" width="21.08984375" customWidth="1"/>
    <col min="4" max="5" width="21.81640625" bestFit="1" customWidth="1"/>
    <col min="6" max="6" width="22.26953125" bestFit="1" customWidth="1"/>
    <col min="7" max="7" width="23" bestFit="1" customWidth="1"/>
    <col min="8" max="8" width="20.1796875" bestFit="1" customWidth="1"/>
  </cols>
  <sheetData>
    <row r="1" spans="2:8" s="5" customFormat="1" x14ac:dyDescent="0.35">
      <c r="B1" s="1" t="s">
        <v>10</v>
      </c>
      <c r="C1" s="1"/>
      <c r="D1" s="1" t="s">
        <v>0</v>
      </c>
      <c r="E1" s="6">
        <v>2021</v>
      </c>
      <c r="F1" s="6">
        <v>2022</v>
      </c>
      <c r="G1" s="1" t="s">
        <v>1</v>
      </c>
      <c r="H1" s="1" t="s">
        <v>2</v>
      </c>
    </row>
    <row r="2" spans="2:8" x14ac:dyDescent="0.35">
      <c r="B2" s="2" t="s">
        <v>11</v>
      </c>
    </row>
    <row r="3" spans="2:8" x14ac:dyDescent="0.35">
      <c r="B3" s="12" t="s">
        <v>13</v>
      </c>
      <c r="D3" s="14">
        <v>8895518817281</v>
      </c>
      <c r="E3" s="14">
        <v>9978151099397</v>
      </c>
      <c r="F3" s="14">
        <v>11820615466487</v>
      </c>
      <c r="G3" s="14">
        <v>13118664763011</v>
      </c>
      <c r="H3" s="14">
        <v>0</v>
      </c>
    </row>
    <row r="4" spans="2:8" x14ac:dyDescent="0.35">
      <c r="B4" s="12" t="s">
        <v>14</v>
      </c>
      <c r="D4" s="14">
        <v>63424663856</v>
      </c>
      <c r="E4" s="14">
        <v>101107395349</v>
      </c>
      <c r="F4" s="14">
        <v>67034510386</v>
      </c>
      <c r="G4" s="14">
        <v>105067874657</v>
      </c>
      <c r="H4" s="14">
        <v>0</v>
      </c>
    </row>
    <row r="5" spans="2:8" x14ac:dyDescent="0.35">
      <c r="B5" s="12" t="s">
        <v>15</v>
      </c>
      <c r="D5" s="14">
        <v>225157576179</v>
      </c>
      <c r="E5" s="14">
        <v>223711765354</v>
      </c>
      <c r="F5" s="14">
        <v>1033471056817</v>
      </c>
      <c r="G5" s="14">
        <v>1998222445172</v>
      </c>
      <c r="H5" s="14">
        <v>58741669787</v>
      </c>
    </row>
    <row r="6" spans="2:8" x14ac:dyDescent="0.35">
      <c r="B6" s="12" t="s">
        <v>16</v>
      </c>
      <c r="D6" s="14">
        <v>-2592668355189</v>
      </c>
      <c r="E6" s="14">
        <v>-2773597549145</v>
      </c>
      <c r="F6" s="14">
        <v>-3444242277105</v>
      </c>
      <c r="G6" s="14">
        <v>-2808836413271</v>
      </c>
      <c r="H6" s="14">
        <v>0</v>
      </c>
    </row>
    <row r="7" spans="2:8" x14ac:dyDescent="0.35">
      <c r="B7" s="12" t="s">
        <v>17</v>
      </c>
      <c r="D7" s="14">
        <v>-3191917868350</v>
      </c>
      <c r="E7" s="14">
        <v>-4009025100297</v>
      </c>
      <c r="F7" s="14">
        <v>-4769667392427</v>
      </c>
      <c r="G7" s="14">
        <v>-5791256992201</v>
      </c>
      <c r="H7" s="14">
        <v>0</v>
      </c>
    </row>
    <row r="8" spans="2:8" x14ac:dyDescent="0.35">
      <c r="B8" s="12" t="s">
        <v>18</v>
      </c>
      <c r="D8" s="14">
        <v>-969516709196</v>
      </c>
      <c r="E8" s="14">
        <v>-902715833150</v>
      </c>
      <c r="F8" s="14">
        <v>-1285144279403</v>
      </c>
      <c r="G8" s="14">
        <v>-1362737727389</v>
      </c>
      <c r="H8" s="14">
        <v>-12276784829</v>
      </c>
    </row>
    <row r="9" spans="2:8" x14ac:dyDescent="0.35">
      <c r="B9" s="12" t="s">
        <v>19</v>
      </c>
      <c r="D9" s="14">
        <v>-662913240363</v>
      </c>
      <c r="E9" s="14">
        <v>-853006872491</v>
      </c>
      <c r="F9" s="14">
        <v>-883321567119</v>
      </c>
      <c r="G9" s="14">
        <v>-885545232296</v>
      </c>
      <c r="H9" s="14">
        <v>-33809422838</v>
      </c>
    </row>
    <row r="10" spans="2:8" x14ac:dyDescent="0.35">
      <c r="B10" s="12" t="s">
        <v>20</v>
      </c>
      <c r="D10" s="14">
        <v>-239506850</v>
      </c>
      <c r="E10" s="14">
        <v>-2195572160</v>
      </c>
      <c r="F10" s="14">
        <v>-13280662726</v>
      </c>
      <c r="G10" s="14">
        <v>-23241345109</v>
      </c>
      <c r="H10" s="14">
        <v>0</v>
      </c>
    </row>
    <row r="11" spans="2:8" x14ac:dyDescent="0.35">
      <c r="B11" s="12" t="s">
        <v>21</v>
      </c>
      <c r="D11" s="14">
        <v>-646060939465</v>
      </c>
      <c r="E11" s="14">
        <v>-809283651317</v>
      </c>
      <c r="F11" s="14">
        <v>-846075008477</v>
      </c>
      <c r="G11" s="14">
        <v>-922936529975</v>
      </c>
      <c r="H11" s="14">
        <v>-2233709599</v>
      </c>
    </row>
    <row r="12" spans="2:8" x14ac:dyDescent="0.35">
      <c r="B12" s="12" t="s">
        <v>22</v>
      </c>
      <c r="D12" s="14">
        <v>-319041577777</v>
      </c>
      <c r="E12" s="14">
        <v>-395214918223</v>
      </c>
      <c r="F12" s="14">
        <v>-1104144023268</v>
      </c>
      <c r="G12" s="14">
        <v>-2101399868863</v>
      </c>
      <c r="H12" s="14">
        <v>-916328843</v>
      </c>
    </row>
    <row r="13" spans="2:8" x14ac:dyDescent="0.35">
      <c r="B13" s="12" t="s">
        <v>23</v>
      </c>
      <c r="D13" s="14">
        <v>-206504945936</v>
      </c>
      <c r="E13" s="14">
        <v>-223821179718</v>
      </c>
      <c r="F13" s="14">
        <v>-312546938557</v>
      </c>
      <c r="G13" s="14">
        <v>-374958278134</v>
      </c>
      <c r="H13" s="14">
        <v>0</v>
      </c>
    </row>
    <row r="14" spans="2:8" x14ac:dyDescent="0.35">
      <c r="B14" s="9"/>
      <c r="D14" s="3"/>
      <c r="E14" s="3"/>
      <c r="F14" s="3"/>
      <c r="G14" s="3"/>
      <c r="H14" s="3"/>
    </row>
    <row r="15" spans="2:8" x14ac:dyDescent="0.35">
      <c r="B15" s="9"/>
      <c r="D15" s="3"/>
      <c r="E15" s="3"/>
      <c r="F15" s="3"/>
      <c r="G15" s="3"/>
      <c r="H15" s="3"/>
    </row>
    <row r="16" spans="2:8" x14ac:dyDescent="0.35">
      <c r="B16" s="2" t="s">
        <v>11</v>
      </c>
      <c r="D16" s="4">
        <f>SUM(D3:D13)</f>
        <v>595237914190</v>
      </c>
      <c r="E16" s="4">
        <f t="shared" ref="E16:H16" si="0">SUM(E3:E13)</f>
        <v>334109583599</v>
      </c>
      <c r="F16" s="4">
        <f t="shared" si="0"/>
        <v>262698884608</v>
      </c>
      <c r="G16" s="4">
        <f t="shared" si="0"/>
        <v>951042695602</v>
      </c>
      <c r="H16" s="4">
        <f t="shared" si="0"/>
        <v>9505423678</v>
      </c>
    </row>
    <row r="17" spans="2:8" x14ac:dyDescent="0.35">
      <c r="B17" s="8" t="s">
        <v>3</v>
      </c>
      <c r="D17" s="14">
        <v>-11404067071</v>
      </c>
      <c r="E17" s="14">
        <v>-7224750491</v>
      </c>
      <c r="F17" s="14">
        <v>-5288378945</v>
      </c>
      <c r="G17" s="14">
        <v>-15719772147</v>
      </c>
      <c r="H17" s="14">
        <v>-1099600000</v>
      </c>
    </row>
    <row r="18" spans="2:8" x14ac:dyDescent="0.35">
      <c r="B18" s="8" t="s">
        <v>4</v>
      </c>
      <c r="D18" s="14">
        <v>508517110</v>
      </c>
      <c r="E18" s="14">
        <v>84216091</v>
      </c>
      <c r="F18" s="14">
        <v>860352495</v>
      </c>
      <c r="G18" s="14">
        <v>227500000</v>
      </c>
      <c r="H18" s="14">
        <v>0</v>
      </c>
    </row>
    <row r="19" spans="2:8" x14ac:dyDescent="0.35">
      <c r="B19" s="8" t="s">
        <v>5</v>
      </c>
      <c r="D19" s="14">
        <v>-4144000000000</v>
      </c>
      <c r="E19" s="14">
        <v>-3761983794000</v>
      </c>
      <c r="F19" s="14">
        <v>-5715029100000</v>
      </c>
      <c r="G19" s="14">
        <v>-6393793247629</v>
      </c>
      <c r="H19" s="14">
        <v>-44649689120</v>
      </c>
    </row>
    <row r="20" spans="2:8" x14ac:dyDescent="0.35">
      <c r="B20" s="8" t="s">
        <v>6</v>
      </c>
      <c r="D20" s="14">
        <v>3837750000000</v>
      </c>
      <c r="E20" s="14">
        <v>3551858520000</v>
      </c>
      <c r="F20" s="14">
        <v>5892125274000</v>
      </c>
      <c r="G20" s="14">
        <v>5096480846562</v>
      </c>
      <c r="H20" s="14">
        <v>38200000000</v>
      </c>
    </row>
    <row r="21" spans="2:8" x14ac:dyDescent="0.35">
      <c r="B21" s="8" t="s">
        <v>7</v>
      </c>
      <c r="D21" s="14">
        <v>0</v>
      </c>
      <c r="E21" s="14">
        <v>-250000000000</v>
      </c>
      <c r="F21" s="14">
        <v>-300000000000</v>
      </c>
      <c r="G21" s="14">
        <v>0</v>
      </c>
      <c r="H21" s="14">
        <v>0</v>
      </c>
    </row>
    <row r="22" spans="2:8" x14ac:dyDescent="0.35">
      <c r="B22" s="8" t="s">
        <v>8</v>
      </c>
      <c r="D22" s="14">
        <v>28700000000</v>
      </c>
      <c r="E22" s="14">
        <v>82700000000</v>
      </c>
      <c r="F22" s="14">
        <v>455880460</v>
      </c>
      <c r="G22" s="14"/>
      <c r="H22" s="15">
        <v>0</v>
      </c>
    </row>
    <row r="23" spans="2:8" x14ac:dyDescent="0.35">
      <c r="B23" s="8" t="s">
        <v>9</v>
      </c>
      <c r="D23" s="14">
        <v>412461767221</v>
      </c>
      <c r="E23" s="14">
        <v>406715979834</v>
      </c>
      <c r="F23" s="14">
        <v>662426061540</v>
      </c>
      <c r="G23" s="14">
        <v>589272866781</v>
      </c>
      <c r="H23" s="14">
        <v>5383651064</v>
      </c>
    </row>
    <row r="24" spans="2:8" x14ac:dyDescent="0.35">
      <c r="B24" s="8"/>
      <c r="D24" s="14"/>
      <c r="E24" s="14"/>
      <c r="F24" s="14"/>
      <c r="G24" s="14"/>
      <c r="H24" s="14"/>
    </row>
    <row r="25" spans="2:8" x14ac:dyDescent="0.35">
      <c r="B25" s="2" t="s">
        <v>12</v>
      </c>
      <c r="D25" s="4">
        <f>SUM(D17:D23)</f>
        <v>124016217260</v>
      </c>
      <c r="E25" s="4">
        <f>SUM(E17:E23)</f>
        <v>22150171434</v>
      </c>
      <c r="F25" s="4">
        <f>SUM(F17:F23)</f>
        <v>535550089550</v>
      </c>
      <c r="G25" s="4">
        <f>SUM(G17:G23)</f>
        <v>-723531806433</v>
      </c>
      <c r="H25" s="4">
        <f>SUM(H17:H23)</f>
        <v>-2165638056</v>
      </c>
    </row>
    <row r="26" spans="2:8" x14ac:dyDescent="0.35">
      <c r="B26" s="13" t="s">
        <v>24</v>
      </c>
      <c r="D26" s="14">
        <v>0</v>
      </c>
      <c r="E26" s="14">
        <v>0</v>
      </c>
      <c r="F26" s="14">
        <v>200000000000</v>
      </c>
      <c r="G26" s="14">
        <v>0</v>
      </c>
      <c r="H26" s="14">
        <v>25989600000</v>
      </c>
    </row>
    <row r="27" spans="2:8" x14ac:dyDescent="0.35">
      <c r="B27" s="13" t="s">
        <v>25</v>
      </c>
      <c r="D27" s="14">
        <v>0</v>
      </c>
      <c r="E27" s="14">
        <v>549668158889</v>
      </c>
      <c r="F27" s="14">
        <v>923391197059</v>
      </c>
      <c r="G27" s="14">
        <v>696083802426</v>
      </c>
      <c r="H27" s="14">
        <v>0</v>
      </c>
    </row>
    <row r="28" spans="2:8" x14ac:dyDescent="0.35">
      <c r="B28" s="13" t="s">
        <v>26</v>
      </c>
      <c r="D28" s="14">
        <v>0</v>
      </c>
      <c r="E28" s="14">
        <v>-326188023162</v>
      </c>
      <c r="F28" s="14">
        <v>-1121884036750</v>
      </c>
      <c r="G28" s="14">
        <v>-725081802426</v>
      </c>
      <c r="H28" s="14">
        <v>0</v>
      </c>
    </row>
    <row r="29" spans="2:8" x14ac:dyDescent="0.35">
      <c r="B29" s="13" t="s">
        <v>27</v>
      </c>
      <c r="D29" s="14">
        <v>-549004564857</v>
      </c>
      <c r="E29" s="14">
        <v>-637197311716</v>
      </c>
      <c r="F29" s="14">
        <v>0</v>
      </c>
      <c r="G29" s="14">
        <v>0</v>
      </c>
      <c r="H29" s="14">
        <v>0</v>
      </c>
    </row>
    <row r="30" spans="2:8" x14ac:dyDescent="0.35">
      <c r="B30" s="13" t="s">
        <v>28</v>
      </c>
      <c r="D30" s="14">
        <v>0</v>
      </c>
      <c r="E30" s="14">
        <v>0</v>
      </c>
      <c r="F30" s="14">
        <v>-487172381755</v>
      </c>
      <c r="G30" s="14">
        <v>-501439597315</v>
      </c>
      <c r="H30" s="14">
        <v>-5500000000</v>
      </c>
    </row>
    <row r="31" spans="2:8" x14ac:dyDescent="0.35">
      <c r="B31" s="13" t="s">
        <v>29</v>
      </c>
      <c r="C31" s="11"/>
      <c r="D31" s="14">
        <v>-549004564857</v>
      </c>
      <c r="E31" s="14">
        <v>-413717175989</v>
      </c>
      <c r="F31" s="14">
        <v>-485665221446</v>
      </c>
      <c r="G31" s="14">
        <v>-530437597315</v>
      </c>
      <c r="H31" s="14">
        <v>20489600000</v>
      </c>
    </row>
    <row r="32" spans="2:8" x14ac:dyDescent="0.35">
      <c r="B32" s="13" t="s">
        <v>30</v>
      </c>
      <c r="D32" s="14">
        <v>170249566569</v>
      </c>
      <c r="E32" s="14">
        <v>-57457420956</v>
      </c>
      <c r="F32" s="14">
        <v>312583752712</v>
      </c>
      <c r="G32" s="14">
        <v>-302926708146</v>
      </c>
      <c r="H32" s="14">
        <v>27829385617</v>
      </c>
    </row>
    <row r="33" spans="2:8" x14ac:dyDescent="0.35">
      <c r="B33" s="13" t="s">
        <v>32</v>
      </c>
      <c r="D33" s="14">
        <v>158847850462</v>
      </c>
      <c r="E33" s="14">
        <v>328805053755</v>
      </c>
      <c r="F33" s="14">
        <v>270306279092</v>
      </c>
      <c r="G33" s="14">
        <v>583386027801</v>
      </c>
      <c r="H33" s="14">
        <v>2235872500</v>
      </c>
    </row>
    <row r="34" spans="2:8" x14ac:dyDescent="0.35">
      <c r="B34" s="13" t="s">
        <v>31</v>
      </c>
      <c r="D34" s="14">
        <v>-292363276</v>
      </c>
      <c r="E34" s="14">
        <v>-1041353707</v>
      </c>
      <c r="F34" s="14">
        <v>495995997</v>
      </c>
      <c r="G34" s="14">
        <v>1833660504</v>
      </c>
      <c r="H34" s="14">
        <v>0</v>
      </c>
    </row>
    <row r="35" spans="2:8" x14ac:dyDescent="0.35">
      <c r="B35" s="13" t="s">
        <v>33</v>
      </c>
      <c r="C35" s="7"/>
      <c r="D35" s="14">
        <f>SUM(D32:D34)</f>
        <v>328805053755</v>
      </c>
      <c r="E35" s="14">
        <f t="shared" ref="E35:H35" si="1">SUM(E32:E34)</f>
        <v>270306279092</v>
      </c>
      <c r="F35" s="14">
        <f t="shared" si="1"/>
        <v>583386027801</v>
      </c>
      <c r="G35" s="14">
        <f t="shared" si="1"/>
        <v>282292980159</v>
      </c>
      <c r="H35" s="14">
        <f t="shared" si="1"/>
        <v>30065258117</v>
      </c>
    </row>
    <row r="36" spans="2:8" x14ac:dyDescent="0.35">
      <c r="B36" s="7"/>
    </row>
    <row r="38" spans="2:8" x14ac:dyDescent="0.35">
      <c r="B38" s="7"/>
    </row>
    <row r="39" spans="2:8" x14ac:dyDescent="0.35">
      <c r="B39" s="7"/>
    </row>
    <row r="40" spans="2:8" x14ac:dyDescent="0.35">
      <c r="B40" s="7"/>
    </row>
    <row r="41" spans="2:8" x14ac:dyDescent="0.35">
      <c r="B41" s="7"/>
    </row>
    <row r="42" spans="2:8" x14ac:dyDescent="0.35">
      <c r="B42" s="7"/>
    </row>
    <row r="43" spans="2:8" x14ac:dyDescent="0.35">
      <c r="B43" s="7"/>
    </row>
    <row r="44" spans="2:8" x14ac:dyDescent="0.35">
      <c r="B44" s="7"/>
    </row>
    <row r="46" spans="2:8" x14ac:dyDescent="0.35">
      <c r="H46" s="10"/>
    </row>
    <row r="52" spans="2:2" x14ac:dyDescent="0.35">
      <c r="B52" s="7"/>
    </row>
  </sheetData>
  <conditionalFormatting sqref="D17:G24 H46 D25:H32 D34:H34">
    <cfRule type="cellIs" dxfId="11" priority="23" operator="lessThan">
      <formula>0</formula>
    </cfRule>
    <cfRule type="cellIs" dxfId="10" priority="24" operator="greaterThan">
      <formula>0</formula>
    </cfRule>
  </conditionalFormatting>
  <conditionalFormatting sqref="D3:H16">
    <cfRule type="cellIs" dxfId="9" priority="15" operator="lessThan">
      <formula>0</formula>
    </cfRule>
    <cfRule type="cellIs" dxfId="8" priority="16" operator="greaterThan">
      <formula>0</formula>
    </cfRule>
  </conditionalFormatting>
  <conditionalFormatting sqref="H17:H24">
    <cfRule type="cellIs" dxfId="7" priority="13" operator="lessThan">
      <formula>0</formula>
    </cfRule>
    <cfRule type="cellIs" dxfId="6" priority="14" operator="greaterThan">
      <formula>0</formula>
    </cfRule>
  </conditionalFormatting>
  <conditionalFormatting sqref="D33:H33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D35:H35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Phuong Vu Nguyen</cp:lastModifiedBy>
  <dcterms:created xsi:type="dcterms:W3CDTF">2025-10-28T14:58:38Z</dcterms:created>
  <dcterms:modified xsi:type="dcterms:W3CDTF">2025-10-28T15:33:09Z</dcterms:modified>
</cp:coreProperties>
</file>